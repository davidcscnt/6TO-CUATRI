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UISIL 6 CUATRIMESTRE\INVESTIGACION DE OPERACIONES\Semana 1\"/>
    </mc:Choice>
  </mc:AlternateContent>
  <xr:revisionPtr revIDLastSave="0" documentId="8_{BB8FC1BE-DA03-4572-A015-60EF39826256}" xr6:coauthVersionLast="47" xr6:coauthVersionMax="47" xr10:uidLastSave="{00000000-0000-0000-0000-000000000000}"/>
  <bookViews>
    <workbookView xWindow="-120" yWindow="-120" windowWidth="29040" windowHeight="15720" xr2:uid="{0323175D-9C24-4EAE-8B1D-517862C88E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3" i="1" l="1"/>
  <c r="D45" i="1"/>
  <c r="D44" i="1"/>
  <c r="D42" i="1"/>
  <c r="M9" i="1"/>
  <c r="M10" i="1"/>
  <c r="M12" i="1"/>
  <c r="M11" i="1"/>
  <c r="D9" i="1"/>
  <c r="D12" i="1"/>
  <c r="D11" i="1"/>
  <c r="D10" i="1"/>
</calcChain>
</file>

<file path=xl/sharedStrings.xml><?xml version="1.0" encoding="utf-8"?>
<sst xmlns="http://schemas.openxmlformats.org/spreadsheetml/2006/main" count="43" uniqueCount="23">
  <si>
    <t>Recurso o ganancia</t>
  </si>
  <si>
    <t>Una mesa</t>
  </si>
  <si>
    <t>Una silla</t>
  </si>
  <si>
    <t>Madera necesaria</t>
  </si>
  <si>
    <t>4 unidades</t>
  </si>
  <si>
    <t>2 unidades</t>
  </si>
  <si>
    <t>Tiempo de trabajo</t>
  </si>
  <si>
    <t>2 horas</t>
  </si>
  <si>
    <t>3 horas</t>
  </si>
  <si>
    <t>Ganancia</t>
  </si>
  <si>
    <t>₡30 000</t>
  </si>
  <si>
    <t>₡20 000</t>
  </si>
  <si>
    <t>Mesa</t>
  </si>
  <si>
    <t>Silla</t>
  </si>
  <si>
    <t>Horas</t>
  </si>
  <si>
    <t>Recurso</t>
  </si>
  <si>
    <t>Tiempo</t>
  </si>
  <si>
    <t>Madera</t>
  </si>
  <si>
    <t xml:space="preserve">Horas </t>
  </si>
  <si>
    <t>Cantidad</t>
  </si>
  <si>
    <t>Mesas</t>
  </si>
  <si>
    <t>Sillas</t>
  </si>
  <si>
    <t>Mesas y sillas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</si>
</sst>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₡-140A]* #,##0.00_-;\-[$₡-140A]* #,##0.00_-;_-[$₡-140A]* &quot;-&quot;??_-;_-@_-"/>
  </numFmts>
  <fonts count="3" x14ac:knownFonts="1">
    <font>
      <sz val="11"/>
      <color theme="1"/>
      <name val="Aptos Narrow"/>
      <family val="2"/>
      <scheme val="minor"/>
    </font>
    <font>
      <b/>
      <sz val="13"/>
      <color rgb="FF1D1D1F"/>
      <name val="Arial"/>
      <family val="2"/>
    </font>
    <font>
      <sz val="13"/>
      <color rgb="FF1D1D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1" xfId="0" applyBorder="1"/>
    <xf numFmtId="168" fontId="0" fillId="0" borderId="1" xfId="0" applyNumberForma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NumberFormat="1" applyBorder="1"/>
    <xf numFmtId="0" fontId="0" fillId="0" borderId="1" xfId="0" applyFill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1D1D1F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D1D1F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D1D1F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D1D1F"/>
        <name val="Arial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1D1D1F"/>
        <name val="Arial"/>
        <family val="2"/>
        <scheme val="none"/>
      </font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3F59D-BF02-449E-ADBF-AEB102E4526D}" name="Tabla1" displayName="Tabla1" ref="B2:D5" totalsRowShown="0" headerRowDxfId="0" dataDxfId="1">
  <autoFilter ref="B2:D5" xr:uid="{0E23F59D-BF02-449E-ADBF-AEB102E4526D}"/>
  <tableColumns count="3">
    <tableColumn id="1" xr3:uid="{7DF7AA84-F3D3-4036-BAAD-2C180224D4D5}" name="Recurso o ganancia" dataDxfId="4"/>
    <tableColumn id="2" xr3:uid="{9805CEDF-BCAF-420E-B8EE-D08A2AAD70EA}" name="Una mesa" dataDxfId="3"/>
    <tableColumn id="3" xr3:uid="{F04D1F11-7667-4534-B343-4233B8006B2E}" name="Una sill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DC4D-1E0B-4F65-8348-DD935B9A404E}">
  <dimension ref="B2:S70"/>
  <sheetViews>
    <sheetView tabSelected="1" zoomScaleNormal="100" workbookViewId="0">
      <selection activeCell="K22" sqref="K22"/>
    </sheetView>
  </sheetViews>
  <sheetFormatPr baseColWidth="10" defaultRowHeight="15" x14ac:dyDescent="0.25"/>
  <cols>
    <col min="2" max="2" width="25.42578125" customWidth="1"/>
    <col min="3" max="3" width="19" customWidth="1"/>
    <col min="4" max="4" width="20" customWidth="1"/>
    <col min="10" max="10" width="12.140625" bestFit="1" customWidth="1"/>
    <col min="12" max="12" width="14.140625" bestFit="1" customWidth="1"/>
    <col min="13" max="14" width="13.28515625" bestFit="1" customWidth="1"/>
    <col min="19" max="19" width="12.140625" bestFit="1" customWidth="1"/>
  </cols>
  <sheetData>
    <row r="2" spans="2:19" ht="16.5" x14ac:dyDescent="0.25">
      <c r="B2" s="1" t="s">
        <v>0</v>
      </c>
      <c r="C2" s="1" t="s">
        <v>1</v>
      </c>
      <c r="D2" s="1" t="s">
        <v>2</v>
      </c>
      <c r="H2" t="s">
        <v>17</v>
      </c>
      <c r="I2" t="s">
        <v>18</v>
      </c>
    </row>
    <row r="3" spans="2:19" ht="16.5" x14ac:dyDescent="0.25">
      <c r="B3" s="2" t="s">
        <v>3</v>
      </c>
      <c r="C3" s="2" t="s">
        <v>4</v>
      </c>
      <c r="D3" s="2" t="s">
        <v>5</v>
      </c>
      <c r="G3" s="3" t="s">
        <v>12</v>
      </c>
      <c r="H3" s="3">
        <v>4</v>
      </c>
      <c r="I3" s="3">
        <v>2</v>
      </c>
      <c r="J3" s="4">
        <v>30000</v>
      </c>
    </row>
    <row r="4" spans="2:19" ht="16.5" x14ac:dyDescent="0.25">
      <c r="B4" s="2" t="s">
        <v>6</v>
      </c>
      <c r="C4" s="2" t="s">
        <v>7</v>
      </c>
      <c r="D4" s="2" t="s">
        <v>8</v>
      </c>
      <c r="G4" s="3" t="s">
        <v>13</v>
      </c>
      <c r="H4" s="3">
        <v>2</v>
      </c>
      <c r="I4" s="3">
        <v>3</v>
      </c>
      <c r="J4" s="4">
        <v>20000</v>
      </c>
    </row>
    <row r="5" spans="2:19" ht="16.5" x14ac:dyDescent="0.25">
      <c r="B5" s="2" t="s">
        <v>9</v>
      </c>
      <c r="C5" s="2" t="s">
        <v>10</v>
      </c>
      <c r="D5" s="2" t="s">
        <v>11</v>
      </c>
    </row>
    <row r="7" spans="2:19" x14ac:dyDescent="0.25">
      <c r="C7" s="10" t="s">
        <v>20</v>
      </c>
      <c r="D7" s="11"/>
      <c r="G7" s="3" t="s">
        <v>19</v>
      </c>
      <c r="H7" s="3" t="s">
        <v>15</v>
      </c>
      <c r="I7" s="3" t="s">
        <v>16</v>
      </c>
      <c r="J7" s="3" t="s">
        <v>9</v>
      </c>
      <c r="L7" s="10" t="s">
        <v>21</v>
      </c>
      <c r="M7" s="11"/>
      <c r="P7" s="3" t="s">
        <v>19</v>
      </c>
      <c r="Q7" s="3" t="s">
        <v>15</v>
      </c>
      <c r="R7" s="3" t="s">
        <v>16</v>
      </c>
      <c r="S7" s="3" t="s">
        <v>9</v>
      </c>
    </row>
    <row r="8" spans="2:19" x14ac:dyDescent="0.25">
      <c r="C8" s="12"/>
      <c r="D8" s="13"/>
      <c r="G8" s="3">
        <v>1</v>
      </c>
      <c r="H8" s="3">
        <v>4</v>
      </c>
      <c r="I8" s="3">
        <v>2</v>
      </c>
      <c r="J8" s="4">
        <v>30000</v>
      </c>
      <c r="L8" s="12"/>
      <c r="M8" s="13"/>
      <c r="P8" s="3">
        <v>1</v>
      </c>
      <c r="Q8" s="3">
        <v>2</v>
      </c>
      <c r="R8" s="3">
        <v>3</v>
      </c>
      <c r="S8" s="4">
        <v>20000</v>
      </c>
    </row>
    <row r="9" spans="2:19" x14ac:dyDescent="0.25">
      <c r="C9" s="6" t="s">
        <v>19</v>
      </c>
      <c r="D9" s="6">
        <f>COUNT(J8:J37)</f>
        <v>10</v>
      </c>
      <c r="G9" s="3">
        <v>2</v>
      </c>
      <c r="H9" s="3">
        <v>4</v>
      </c>
      <c r="I9" s="3">
        <v>2</v>
      </c>
      <c r="J9" s="4">
        <v>30000</v>
      </c>
      <c r="L9" s="3" t="s">
        <v>19</v>
      </c>
      <c r="M9" s="3">
        <f>COUNT(S8:S27)</f>
        <v>10</v>
      </c>
      <c r="P9" s="3">
        <v>2</v>
      </c>
      <c r="Q9" s="3">
        <v>2</v>
      </c>
      <c r="R9" s="3">
        <v>3</v>
      </c>
      <c r="S9" s="4">
        <v>20000</v>
      </c>
    </row>
    <row r="10" spans="2:19" x14ac:dyDescent="0.25">
      <c r="C10" s="6" t="s">
        <v>17</v>
      </c>
      <c r="D10" s="6">
        <f>40-SUM(H8:H37)</f>
        <v>0</v>
      </c>
      <c r="G10" s="3">
        <v>3</v>
      </c>
      <c r="H10" s="3">
        <v>4</v>
      </c>
      <c r="I10" s="3">
        <v>2</v>
      </c>
      <c r="J10" s="4">
        <v>30000</v>
      </c>
      <c r="L10" s="3" t="s">
        <v>17</v>
      </c>
      <c r="M10" s="3">
        <f>40-SUM(Q8:Q27)</f>
        <v>20</v>
      </c>
      <c r="P10" s="3">
        <v>3</v>
      </c>
      <c r="Q10" s="3">
        <v>2</v>
      </c>
      <c r="R10" s="3">
        <v>3</v>
      </c>
      <c r="S10" s="4">
        <v>20000</v>
      </c>
    </row>
    <row r="11" spans="2:19" x14ac:dyDescent="0.25">
      <c r="C11" s="6" t="s">
        <v>14</v>
      </c>
      <c r="D11" s="6">
        <f>30-SUM(I8:I37)</f>
        <v>10</v>
      </c>
      <c r="G11" s="3">
        <v>4</v>
      </c>
      <c r="H11" s="3">
        <v>4</v>
      </c>
      <c r="I11" s="3">
        <v>2</v>
      </c>
      <c r="J11" s="4">
        <v>30000</v>
      </c>
      <c r="L11" s="3" t="s">
        <v>14</v>
      </c>
      <c r="M11" s="7">
        <f>30-SUM(R8:R27)</f>
        <v>0</v>
      </c>
      <c r="P11" s="3">
        <v>4</v>
      </c>
      <c r="Q11" s="3">
        <v>2</v>
      </c>
      <c r="R11" s="3">
        <v>3</v>
      </c>
      <c r="S11" s="4">
        <v>20000</v>
      </c>
    </row>
    <row r="12" spans="2:19" x14ac:dyDescent="0.25">
      <c r="C12" s="8" t="s">
        <v>9</v>
      </c>
      <c r="D12" s="9">
        <f>SUM(J8:J37)</f>
        <v>300000</v>
      </c>
      <c r="G12" s="3">
        <v>5</v>
      </c>
      <c r="H12" s="3">
        <v>4</v>
      </c>
      <c r="I12" s="3">
        <v>2</v>
      </c>
      <c r="J12" s="4">
        <v>30000</v>
      </c>
      <c r="L12" s="5" t="s">
        <v>9</v>
      </c>
      <c r="M12" s="4">
        <f>SUM(S8:S27)</f>
        <v>200000</v>
      </c>
      <c r="P12" s="3">
        <v>5</v>
      </c>
      <c r="Q12" s="3">
        <v>2</v>
      </c>
      <c r="R12" s="3">
        <v>3</v>
      </c>
      <c r="S12" s="4">
        <v>20000</v>
      </c>
    </row>
    <row r="13" spans="2:19" x14ac:dyDescent="0.25">
      <c r="G13" s="3">
        <v>6</v>
      </c>
      <c r="H13" s="3">
        <v>4</v>
      </c>
      <c r="I13" s="3">
        <v>2</v>
      </c>
      <c r="J13" s="4">
        <v>30000</v>
      </c>
      <c r="P13" s="3">
        <v>6</v>
      </c>
      <c r="Q13" s="3">
        <v>2</v>
      </c>
      <c r="R13" s="3">
        <v>3</v>
      </c>
      <c r="S13" s="4">
        <v>20000</v>
      </c>
    </row>
    <row r="14" spans="2:19" x14ac:dyDescent="0.25">
      <c r="G14" s="3">
        <v>7</v>
      </c>
      <c r="H14" s="3">
        <v>4</v>
      </c>
      <c r="I14" s="3">
        <v>2</v>
      </c>
      <c r="J14" s="4">
        <v>30000</v>
      </c>
      <c r="P14" s="3">
        <v>7</v>
      </c>
      <c r="Q14" s="3">
        <v>2</v>
      </c>
      <c r="R14" s="3">
        <v>3</v>
      </c>
      <c r="S14" s="4">
        <v>20000</v>
      </c>
    </row>
    <row r="15" spans="2:19" x14ac:dyDescent="0.25">
      <c r="G15" s="3">
        <v>8</v>
      </c>
      <c r="H15" s="3">
        <v>4</v>
      </c>
      <c r="I15" s="3">
        <v>2</v>
      </c>
      <c r="J15" s="4">
        <v>30000</v>
      </c>
      <c r="P15" s="3">
        <v>8</v>
      </c>
      <c r="Q15" s="3">
        <v>2</v>
      </c>
      <c r="R15" s="3">
        <v>3</v>
      </c>
      <c r="S15" s="4">
        <v>20000</v>
      </c>
    </row>
    <row r="16" spans="2:19" x14ac:dyDescent="0.25">
      <c r="G16" s="3">
        <v>9</v>
      </c>
      <c r="H16" s="3">
        <v>4</v>
      </c>
      <c r="I16" s="3">
        <v>2</v>
      </c>
      <c r="J16" s="4">
        <v>30000</v>
      </c>
      <c r="P16" s="3">
        <v>9</v>
      </c>
      <c r="Q16" s="3">
        <v>2</v>
      </c>
      <c r="R16" s="3">
        <v>3</v>
      </c>
      <c r="S16" s="4">
        <v>20000</v>
      </c>
    </row>
    <row r="17" spans="7:19" x14ac:dyDescent="0.25">
      <c r="G17" s="3">
        <v>10</v>
      </c>
      <c r="H17" s="3">
        <v>4</v>
      </c>
      <c r="I17" s="3">
        <v>2</v>
      </c>
      <c r="J17" s="4">
        <v>30000</v>
      </c>
      <c r="P17" s="3">
        <v>10</v>
      </c>
      <c r="Q17" s="3">
        <v>2</v>
      </c>
      <c r="R17" s="3">
        <v>3</v>
      </c>
      <c r="S17" s="4">
        <v>20000</v>
      </c>
    </row>
    <row r="18" spans="7:19" x14ac:dyDescent="0.25">
      <c r="G18" s="3">
        <v>11</v>
      </c>
      <c r="H18" s="3"/>
      <c r="I18" s="3"/>
      <c r="J18" s="4"/>
      <c r="P18" s="3">
        <v>11</v>
      </c>
      <c r="Q18" s="3"/>
      <c r="R18" s="3"/>
      <c r="S18" s="4"/>
    </row>
    <row r="19" spans="7:19" x14ac:dyDescent="0.25">
      <c r="G19" s="3">
        <v>12</v>
      </c>
      <c r="H19" s="3"/>
      <c r="I19" s="3"/>
      <c r="J19" s="4"/>
      <c r="P19" s="3">
        <v>12</v>
      </c>
      <c r="Q19" s="3"/>
      <c r="R19" s="3"/>
      <c r="S19" s="4"/>
    </row>
    <row r="20" spans="7:19" x14ac:dyDescent="0.25">
      <c r="G20" s="3">
        <v>13</v>
      </c>
      <c r="H20" s="3"/>
      <c r="I20" s="3"/>
      <c r="J20" s="4"/>
      <c r="P20" s="3">
        <v>13</v>
      </c>
      <c r="Q20" s="3"/>
      <c r="R20" s="3"/>
      <c r="S20" s="4"/>
    </row>
    <row r="21" spans="7:19" x14ac:dyDescent="0.25">
      <c r="G21" s="3">
        <v>14</v>
      </c>
      <c r="H21" s="3"/>
      <c r="I21" s="3"/>
      <c r="J21" s="4"/>
      <c r="P21" s="3">
        <v>14</v>
      </c>
      <c r="Q21" s="3"/>
      <c r="R21" s="3"/>
      <c r="S21" s="4"/>
    </row>
    <row r="22" spans="7:19" x14ac:dyDescent="0.25">
      <c r="G22" s="3">
        <v>15</v>
      </c>
      <c r="H22" s="3"/>
      <c r="I22" s="3"/>
      <c r="J22" s="4"/>
      <c r="P22" s="3">
        <v>15</v>
      </c>
      <c r="Q22" s="3"/>
      <c r="R22" s="3"/>
      <c r="S22" s="4"/>
    </row>
    <row r="23" spans="7:19" x14ac:dyDescent="0.25">
      <c r="G23" s="3">
        <v>16</v>
      </c>
      <c r="H23" s="3"/>
      <c r="I23" s="3"/>
      <c r="J23" s="4"/>
      <c r="P23" s="3">
        <v>16</v>
      </c>
      <c r="Q23" s="3"/>
      <c r="R23" s="3"/>
      <c r="S23" s="4"/>
    </row>
    <row r="24" spans="7:19" x14ac:dyDescent="0.25">
      <c r="G24" s="3">
        <v>17</v>
      </c>
      <c r="H24" s="3"/>
      <c r="I24" s="3"/>
      <c r="J24" s="4"/>
      <c r="P24" s="3">
        <v>17</v>
      </c>
      <c r="Q24" s="3"/>
      <c r="R24" s="3"/>
      <c r="S24" s="4"/>
    </row>
    <row r="25" spans="7:19" x14ac:dyDescent="0.25">
      <c r="G25" s="3">
        <v>18</v>
      </c>
      <c r="H25" s="3"/>
      <c r="I25" s="3"/>
      <c r="J25" s="4"/>
      <c r="P25" s="3">
        <v>18</v>
      </c>
      <c r="Q25" s="3"/>
      <c r="R25" s="3"/>
      <c r="S25" s="4"/>
    </row>
    <row r="26" spans="7:19" x14ac:dyDescent="0.25">
      <c r="G26" s="3">
        <v>19</v>
      </c>
      <c r="H26" s="3"/>
      <c r="I26" s="3"/>
      <c r="J26" s="4"/>
      <c r="P26" s="3">
        <v>19</v>
      </c>
      <c r="Q26" s="3"/>
      <c r="R26" s="3"/>
      <c r="S26" s="4"/>
    </row>
    <row r="27" spans="7:19" x14ac:dyDescent="0.25">
      <c r="G27" s="3">
        <v>20</v>
      </c>
      <c r="H27" s="3"/>
      <c r="I27" s="3"/>
      <c r="J27" s="4"/>
      <c r="P27" s="3">
        <v>20</v>
      </c>
      <c r="Q27" s="3"/>
      <c r="R27" s="3"/>
      <c r="S27" s="4"/>
    </row>
    <row r="28" spans="7:19" x14ac:dyDescent="0.25">
      <c r="G28" s="3">
        <v>21</v>
      </c>
      <c r="H28" s="3"/>
      <c r="I28" s="3"/>
      <c r="J28" s="4"/>
    </row>
    <row r="29" spans="7:19" x14ac:dyDescent="0.25">
      <c r="G29" s="3">
        <v>22</v>
      </c>
      <c r="H29" s="3"/>
      <c r="I29" s="3"/>
      <c r="J29" s="4"/>
    </row>
    <row r="30" spans="7:19" x14ac:dyDescent="0.25">
      <c r="G30" s="3">
        <v>23</v>
      </c>
      <c r="H30" s="3"/>
      <c r="I30" s="3"/>
      <c r="J30" s="4"/>
    </row>
    <row r="31" spans="7:19" x14ac:dyDescent="0.25">
      <c r="G31" s="3">
        <v>24</v>
      </c>
      <c r="H31" s="3"/>
      <c r="I31" s="3"/>
      <c r="J31" s="4"/>
    </row>
    <row r="32" spans="7:19" x14ac:dyDescent="0.25">
      <c r="G32" s="3">
        <v>25</v>
      </c>
      <c r="H32" s="3"/>
      <c r="I32" s="3"/>
      <c r="J32" s="4"/>
    </row>
    <row r="33" spans="3:10" x14ac:dyDescent="0.25">
      <c r="G33" s="3">
        <v>26</v>
      </c>
      <c r="H33" s="3"/>
      <c r="I33" s="3"/>
      <c r="J33" s="4"/>
    </row>
    <row r="34" spans="3:10" x14ac:dyDescent="0.25">
      <c r="G34" s="3">
        <v>27</v>
      </c>
      <c r="H34" s="3"/>
      <c r="I34" s="3"/>
      <c r="J34" s="4"/>
    </row>
    <row r="35" spans="3:10" x14ac:dyDescent="0.25">
      <c r="G35" s="3">
        <v>28</v>
      </c>
      <c r="H35" s="3"/>
      <c r="I35" s="3"/>
      <c r="J35" s="4"/>
    </row>
    <row r="36" spans="3:10" x14ac:dyDescent="0.25">
      <c r="G36" s="3">
        <v>29</v>
      </c>
      <c r="H36" s="3"/>
      <c r="I36" s="3"/>
      <c r="J36" s="4"/>
    </row>
    <row r="37" spans="3:10" x14ac:dyDescent="0.25">
      <c r="G37" s="3">
        <v>30</v>
      </c>
      <c r="H37" s="3"/>
      <c r="I37" s="3"/>
      <c r="J37" s="4"/>
    </row>
    <row r="40" spans="3:10" x14ac:dyDescent="0.25">
      <c r="C40" s="10" t="s">
        <v>22</v>
      </c>
      <c r="D40" s="11"/>
      <c r="G40" s="3" t="s">
        <v>19</v>
      </c>
      <c r="H40" s="3" t="s">
        <v>15</v>
      </c>
      <c r="I40" s="3" t="s">
        <v>16</v>
      </c>
      <c r="J40" s="3" t="s">
        <v>9</v>
      </c>
    </row>
    <row r="41" spans="3:10" x14ac:dyDescent="0.25">
      <c r="C41" s="12"/>
      <c r="D41" s="13"/>
      <c r="G41" s="3">
        <v>1</v>
      </c>
      <c r="H41" s="3">
        <v>4</v>
      </c>
      <c r="I41" s="3">
        <v>2</v>
      </c>
      <c r="J41" s="4">
        <v>30000</v>
      </c>
    </row>
    <row r="42" spans="3:10" x14ac:dyDescent="0.25">
      <c r="C42" s="3" t="s">
        <v>19</v>
      </c>
      <c r="D42" s="3">
        <f>COUNT(J41:J70)</f>
        <v>12</v>
      </c>
      <c r="G42" s="3">
        <v>2</v>
      </c>
      <c r="H42" s="3">
        <v>2</v>
      </c>
      <c r="I42" s="3">
        <v>3</v>
      </c>
      <c r="J42" s="4">
        <v>20000</v>
      </c>
    </row>
    <row r="43" spans="3:10" x14ac:dyDescent="0.25">
      <c r="C43" s="3" t="s">
        <v>17</v>
      </c>
      <c r="D43" s="3">
        <f>40-SUM(H41:H70)</f>
        <v>4</v>
      </c>
      <c r="G43" s="3">
        <v>3</v>
      </c>
      <c r="H43" s="3">
        <v>4</v>
      </c>
      <c r="I43" s="3">
        <v>2</v>
      </c>
      <c r="J43" s="4">
        <v>30000</v>
      </c>
    </row>
    <row r="44" spans="3:10" x14ac:dyDescent="0.25">
      <c r="C44" s="3" t="s">
        <v>14</v>
      </c>
      <c r="D44" s="3">
        <f>30-SUM(I41:I70)</f>
        <v>0</v>
      </c>
      <c r="G44" s="3">
        <v>4</v>
      </c>
      <c r="H44" s="3">
        <v>2</v>
      </c>
      <c r="I44" s="3">
        <v>3</v>
      </c>
      <c r="J44" s="4">
        <v>20000</v>
      </c>
    </row>
    <row r="45" spans="3:10" x14ac:dyDescent="0.25">
      <c r="C45" s="5" t="s">
        <v>9</v>
      </c>
      <c r="D45" s="4">
        <f>SUM(J41:J70)</f>
        <v>300000</v>
      </c>
      <c r="G45" s="3">
        <v>5</v>
      </c>
      <c r="H45" s="3">
        <v>4</v>
      </c>
      <c r="I45" s="3">
        <v>2</v>
      </c>
      <c r="J45" s="4">
        <v>30000</v>
      </c>
    </row>
    <row r="46" spans="3:10" x14ac:dyDescent="0.25">
      <c r="G46" s="3">
        <v>6</v>
      </c>
      <c r="H46" s="3">
        <v>2</v>
      </c>
      <c r="I46" s="3">
        <v>3</v>
      </c>
      <c r="J46" s="4">
        <v>20000</v>
      </c>
    </row>
    <row r="47" spans="3:10" x14ac:dyDescent="0.25">
      <c r="G47" s="3">
        <v>7</v>
      </c>
      <c r="H47" s="3">
        <v>4</v>
      </c>
      <c r="I47" s="3">
        <v>2</v>
      </c>
      <c r="J47" s="4">
        <v>30000</v>
      </c>
    </row>
    <row r="48" spans="3:10" x14ac:dyDescent="0.25">
      <c r="G48" s="3">
        <v>8</v>
      </c>
      <c r="H48" s="3">
        <v>2</v>
      </c>
      <c r="I48" s="3">
        <v>3</v>
      </c>
      <c r="J48" s="4">
        <v>20000</v>
      </c>
    </row>
    <row r="49" spans="7:10" x14ac:dyDescent="0.25">
      <c r="G49" s="3">
        <v>9</v>
      </c>
      <c r="H49" s="3">
        <v>4</v>
      </c>
      <c r="I49" s="3">
        <v>2</v>
      </c>
      <c r="J49" s="4">
        <v>30000</v>
      </c>
    </row>
    <row r="50" spans="7:10" x14ac:dyDescent="0.25">
      <c r="G50" s="3">
        <v>10</v>
      </c>
      <c r="H50" s="3">
        <v>2</v>
      </c>
      <c r="I50" s="3">
        <v>3</v>
      </c>
      <c r="J50" s="4">
        <v>20000</v>
      </c>
    </row>
    <row r="51" spans="7:10" x14ac:dyDescent="0.25">
      <c r="G51" s="3">
        <v>11</v>
      </c>
      <c r="H51" s="3">
        <v>4</v>
      </c>
      <c r="I51" s="3">
        <v>2</v>
      </c>
      <c r="J51" s="4">
        <v>30000</v>
      </c>
    </row>
    <row r="52" spans="7:10" x14ac:dyDescent="0.25">
      <c r="G52" s="3">
        <v>12</v>
      </c>
      <c r="H52" s="3">
        <v>2</v>
      </c>
      <c r="I52" s="3">
        <v>3</v>
      </c>
      <c r="J52" s="4">
        <v>20000</v>
      </c>
    </row>
    <row r="53" spans="7:10" x14ac:dyDescent="0.25">
      <c r="G53" s="3">
        <v>13</v>
      </c>
      <c r="H53" s="3"/>
      <c r="I53" s="3"/>
      <c r="J53" s="4"/>
    </row>
    <row r="54" spans="7:10" x14ac:dyDescent="0.25">
      <c r="G54" s="3">
        <v>14</v>
      </c>
      <c r="H54" s="3"/>
      <c r="I54" s="3"/>
      <c r="J54" s="4"/>
    </row>
    <row r="55" spans="7:10" x14ac:dyDescent="0.25">
      <c r="G55" s="3">
        <v>15</v>
      </c>
      <c r="H55" s="3"/>
      <c r="I55" s="3"/>
      <c r="J55" s="4"/>
    </row>
    <row r="56" spans="7:10" x14ac:dyDescent="0.25">
      <c r="G56" s="3">
        <v>16</v>
      </c>
      <c r="H56" s="3"/>
      <c r="I56" s="3"/>
      <c r="J56" s="4"/>
    </row>
    <row r="57" spans="7:10" x14ac:dyDescent="0.25">
      <c r="G57" s="3">
        <v>17</v>
      </c>
      <c r="H57" s="3"/>
      <c r="I57" s="3"/>
      <c r="J57" s="4"/>
    </row>
    <row r="58" spans="7:10" x14ac:dyDescent="0.25">
      <c r="G58" s="3">
        <v>18</v>
      </c>
      <c r="H58" s="3"/>
      <c r="I58" s="3"/>
      <c r="J58" s="4"/>
    </row>
    <row r="59" spans="7:10" x14ac:dyDescent="0.25">
      <c r="G59" s="3">
        <v>19</v>
      </c>
      <c r="H59" s="3"/>
      <c r="I59" s="3"/>
      <c r="J59" s="4"/>
    </row>
    <row r="60" spans="7:10" x14ac:dyDescent="0.25">
      <c r="G60" s="3">
        <v>20</v>
      </c>
      <c r="H60" s="3"/>
      <c r="I60" s="3"/>
      <c r="J60" s="4"/>
    </row>
    <row r="61" spans="7:10" x14ac:dyDescent="0.25">
      <c r="G61" s="3">
        <v>21</v>
      </c>
      <c r="H61" s="3"/>
      <c r="I61" s="3"/>
      <c r="J61" s="4"/>
    </row>
    <row r="62" spans="7:10" x14ac:dyDescent="0.25">
      <c r="G62" s="3">
        <v>22</v>
      </c>
      <c r="H62" s="3"/>
      <c r="I62" s="3"/>
      <c r="J62" s="4"/>
    </row>
    <row r="63" spans="7:10" x14ac:dyDescent="0.25">
      <c r="G63" s="3">
        <v>23</v>
      </c>
      <c r="H63" s="3"/>
      <c r="I63" s="3"/>
      <c r="J63" s="4"/>
    </row>
    <row r="64" spans="7:10" x14ac:dyDescent="0.25">
      <c r="G64" s="3">
        <v>24</v>
      </c>
      <c r="H64" s="3"/>
      <c r="I64" s="3"/>
      <c r="J64" s="4"/>
    </row>
    <row r="65" spans="7:10" x14ac:dyDescent="0.25">
      <c r="G65" s="3">
        <v>25</v>
      </c>
      <c r="H65" s="3"/>
      <c r="I65" s="3"/>
      <c r="J65" s="4"/>
    </row>
    <row r="66" spans="7:10" x14ac:dyDescent="0.25">
      <c r="G66" s="3">
        <v>26</v>
      </c>
      <c r="H66" s="3"/>
      <c r="I66" s="3"/>
      <c r="J66" s="4"/>
    </row>
    <row r="67" spans="7:10" x14ac:dyDescent="0.25">
      <c r="G67" s="3">
        <v>27</v>
      </c>
      <c r="H67" s="3"/>
      <c r="I67" s="3"/>
      <c r="J67" s="4"/>
    </row>
    <row r="68" spans="7:10" x14ac:dyDescent="0.25">
      <c r="G68" s="3">
        <v>28</v>
      </c>
      <c r="H68" s="3"/>
      <c r="I68" s="3"/>
      <c r="J68" s="4"/>
    </row>
    <row r="69" spans="7:10" x14ac:dyDescent="0.25">
      <c r="G69" s="3">
        <v>29</v>
      </c>
      <c r="H69" s="3"/>
      <c r="I69" s="3"/>
      <c r="J69" s="4"/>
    </row>
    <row r="70" spans="7:10" x14ac:dyDescent="0.25">
      <c r="G70" s="3">
        <v>30</v>
      </c>
      <c r="H70" s="3"/>
      <c r="I70" s="3"/>
      <c r="J70" s="4"/>
    </row>
  </sheetData>
  <mergeCells count="3">
    <mergeCell ref="C7:D8"/>
    <mergeCell ref="L7:M8"/>
    <mergeCell ref="C40:D4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Cascante</dc:creator>
  <cp:lastModifiedBy>David Cascante</cp:lastModifiedBy>
  <dcterms:created xsi:type="dcterms:W3CDTF">2026-09-18T04:38:43Z</dcterms:created>
  <dcterms:modified xsi:type="dcterms:W3CDTF">2026-09-18T05:07:42Z</dcterms:modified>
</cp:coreProperties>
</file>